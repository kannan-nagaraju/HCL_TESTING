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821" activeTab="1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<sst xmlns="http://schemas.openxmlformats.org/spreadsheetml/2006/main" count="110" uniqueCount="87">
  <si>
    <t>TEST CASE</t>
  </si>
  <si>
    <t>Version:</t>
  </si>
  <si>
    <t>Issue date:</t>
  </si>
  <si>
    <t>31/07/2007</t>
  </si>
  <si>
    <t>Project Name:</t>
  </si>
  <si>
    <t>Sameple project</t>
  </si>
  <si>
    <t>Project Code:</t>
  </si>
  <si>
    <t>UTEHY-SE01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</si>
  <si>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</si>
  <si>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</si>
  <si>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</si>
  <si>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</si>
  <si>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</si>
  <si>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</si>
  <si>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</si>
  <si>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</si>
  <si>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</si>
  <si>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First creation</t>
  </si>
  <si>
    <t>John Doe</t>
  </si>
  <si>
    <t>CR236 "Export all carrier choices"</t>
  </si>
  <si>
    <t>1.1</t>
  </si>
  <si>
    <t>Update testcase</t>
  </si>
  <si>
    <t>Jane Doe</t>
  </si>
  <si>
    <t>1.2</t>
  </si>
  <si>
    <t>Test Leader 01</t>
  </si>
  <si>
    <r>
      <rPr>
        <b/>
        <sz val="10"/>
        <rFont val="Tahoma"/>
        <charset val="134"/>
      </rPr>
      <t>System Name</t>
    </r>
    <r>
      <rPr>
        <b/>
        <sz val="10"/>
        <rFont val="ＭＳ Ｐゴシック"/>
        <charset val="128"/>
      </rPr>
      <t>：</t>
    </r>
  </si>
  <si>
    <t>Flipkart</t>
  </si>
  <si>
    <r>
      <rPr>
        <b/>
        <sz val="10"/>
        <rFont val="Tahoma"/>
        <charset val="134"/>
      </rPr>
      <t>Module Code</t>
    </r>
    <r>
      <rPr>
        <b/>
        <sz val="10"/>
        <rFont val="MS Gothic"/>
        <charset val="134"/>
      </rPr>
      <t>：</t>
    </r>
  </si>
  <si>
    <t>Manual Testing</t>
  </si>
  <si>
    <t>Test requirement:</t>
  </si>
  <si>
    <t xml:space="preserve">CR1 - 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</si>
  <si>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</si>
  <si>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</si>
  <si>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</si>
  <si>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</si>
  <si>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</si>
  <si>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</si>
  <si>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</si>
  <si>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Output</t>
  </si>
  <si>
    <t>Test data</t>
  </si>
  <si>
    <t>Result</t>
  </si>
  <si>
    <t>Note</t>
  </si>
  <si>
    <t>TC1</t>
  </si>
  <si>
    <t>Login</t>
  </si>
  <si>
    <t>Verify login functionality</t>
  </si>
  <si>
    <t>Open Flipkart → Click Login → Enter credentials</t>
  </si>
  <si>
    <t>Valid credentials</t>
  </si>
  <si>
    <t>TC2</t>
  </si>
  <si>
    <t>Login with invalid password</t>
  </si>
  <si>
    <t>Open Login → Enter username → Enter wrong password</t>
  </si>
  <si>
    <t>Wrong password</t>
  </si>
  <si>
    <t>TC3</t>
  </si>
  <si>
    <t>Search</t>
  </si>
  <si>
    <t>Search for a product</t>
  </si>
  <si>
    <t>Enter product name → Click Search</t>
  </si>
  <si>
    <t>Laptop</t>
  </si>
  <si>
    <t>TC4</t>
  </si>
  <si>
    <t>Search with empty input</t>
  </si>
  <si>
    <t>Open search → Click Search</t>
  </si>
  <si>
    <t>Empty</t>
  </si>
  <si>
    <t>TC5</t>
  </si>
  <si>
    <t>Product</t>
  </si>
  <si>
    <t>Open a product</t>
  </si>
  <si>
    <t>Search product → Click product</t>
  </si>
  <si>
    <t>TC6</t>
  </si>
  <si>
    <t>Cart</t>
  </si>
  <si>
    <t>Add product to cart</t>
  </si>
  <si>
    <t>Open product → Click Add to Cart</t>
  </si>
  <si>
    <t>Available product</t>
  </si>
  <si>
    <t>TC7</t>
  </si>
  <si>
    <t>Remove product from cart</t>
  </si>
  <si>
    <t>Open Cart → Click Remove</t>
  </si>
  <si>
    <t>Added product</t>
  </si>
  <si>
    <t>TC8</t>
  </si>
  <si>
    <t>Wishlist</t>
  </si>
  <si>
    <t>Add product to wishlist</t>
  </si>
  <si>
    <t>Open product → Click Wishlist</t>
  </si>
  <si>
    <t>TEST REPORT</t>
  </si>
  <si>
    <t>Note:</t>
  </si>
  <si>
    <t>Date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</si>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</sst>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0.000"/>
    <numFmt numFmtId="182" formatCode="dd/mmm/yy"/>
  </numFmts>
  <fonts count="40">
    <font>
      <sz val="11"/>
      <name val="ＭＳ Ｐゴシック"/>
      <charset val="128"/>
    </font>
    <font>
      <b/>
      <sz val="18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indexed="9"/>
      <name val="Tahoma"/>
      <charset val="134"/>
    </font>
    <font>
      <sz val="10"/>
      <name val="ＭＳ Ｐゴシック"/>
      <charset val="128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8"/>
      <color indexed="8"/>
      <name val="Tahoma"/>
      <charset val="134"/>
    </font>
    <font>
      <sz val="12"/>
      <color indexed="8"/>
      <name val="Tahoma"/>
      <charset val="134"/>
    </font>
    <font>
      <sz val="12"/>
      <name val="ＭＳ Ｐゴシック"/>
      <charset val="128"/>
    </font>
    <font>
      <b/>
      <sz val="12"/>
      <color indexed="9"/>
      <name val="Tahoma"/>
      <charset val="134"/>
    </font>
    <font>
      <b/>
      <sz val="10"/>
      <color indexed="8"/>
      <name val="Tahoma"/>
      <charset val="134"/>
    </font>
    <font>
      <sz val="10"/>
      <color indexed="10"/>
      <name val="Tahoma"/>
      <charset val="134"/>
    </font>
    <font>
      <sz val="11"/>
      <name val="Tahoma"/>
      <charset val="134"/>
    </font>
    <font>
      <b/>
      <sz val="10"/>
      <color indexed="6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ＭＳ ゴシック"/>
      <charset val="128"/>
    </font>
    <font>
      <b/>
      <sz val="10"/>
      <name val="ＭＳ Ｐゴシック"/>
      <charset val="128"/>
    </font>
    <font>
      <b/>
      <sz val="10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3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8" applyNumberFormat="0" applyAlignment="0" applyProtection="0">
      <alignment vertical="center"/>
    </xf>
    <xf numFmtId="0" fontId="27" fillId="9" borderId="39" applyNumberFormat="0" applyAlignment="0" applyProtection="0">
      <alignment vertical="center"/>
    </xf>
    <xf numFmtId="0" fontId="28" fillId="9" borderId="38" applyNumberFormat="0" applyAlignment="0" applyProtection="0">
      <alignment vertical="center"/>
    </xf>
    <xf numFmtId="0" fontId="29" fillId="10" borderId="40" applyNumberFormat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0" borderId="0"/>
    <xf numFmtId="0" fontId="0" fillId="0" borderId="0" applyProtection="0"/>
    <xf numFmtId="0" fontId="37" fillId="0" borderId="0"/>
  </cellStyleXfs>
  <cellXfs count="138">
    <xf numFmtId="0" fontId="0" fillId="0" borderId="0" xfId="0"/>
    <xf numFmtId="0" fontId="0" fillId="0" borderId="0" xfId="0" applyAlignment="1">
      <alignment wrapText="1"/>
    </xf>
    <xf numFmtId="0" fontId="1" fillId="0" borderId="0" xfId="49" applyFont="1" applyBorder="1"/>
    <xf numFmtId="0" fontId="2" fillId="0" borderId="0" xfId="49" applyFont="1" applyBorder="1"/>
    <xf numFmtId="0" fontId="3" fillId="0" borderId="0" xfId="49" applyFont="1" applyBorder="1"/>
    <xf numFmtId="180" fontId="3" fillId="0" borderId="0" xfId="49" applyNumberFormat="1" applyFont="1" applyBorder="1"/>
    <xf numFmtId="0" fontId="3" fillId="0" borderId="0" xfId="0" applyFont="1" applyBorder="1"/>
    <xf numFmtId="180" fontId="3" fillId="0" borderId="1" xfId="0" applyNumberFormat="1" applyFont="1" applyBorder="1" applyAlignment="1">
      <alignment horizontal="center"/>
    </xf>
    <xf numFmtId="0" fontId="3" fillId="0" borderId="0" xfId="0" applyFont="1" applyBorder="1" applyAlignment="1"/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 wrapText="1"/>
    </xf>
    <xf numFmtId="0" fontId="4" fillId="2" borderId="4" xfId="0" applyNumberFormat="1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/>
    </xf>
    <xf numFmtId="0" fontId="3" fillId="0" borderId="5" xfId="0" applyNumberFormat="1" applyFont="1" applyBorder="1"/>
    <xf numFmtId="0" fontId="5" fillId="0" borderId="5" xfId="0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right" wrapText="1"/>
    </xf>
    <xf numFmtId="0" fontId="8" fillId="0" borderId="0" xfId="0" applyFont="1" applyBorder="1" applyAlignment="1">
      <alignment horizontal="center" wrapText="1"/>
    </xf>
    <xf numFmtId="0" fontId="9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vertical="center" wrapText="1"/>
    </xf>
    <xf numFmtId="0" fontId="10" fillId="0" borderId="0" xfId="0" applyFont="1" applyAlignment="1"/>
    <xf numFmtId="0" fontId="8" fillId="0" borderId="0" xfId="0" applyFont="1" applyBorder="1" applyAlignment="1"/>
    <xf numFmtId="0" fontId="11" fillId="0" borderId="0" xfId="0" applyFont="1"/>
    <xf numFmtId="0" fontId="9" fillId="0" borderId="0" xfId="0" applyFont="1" applyAlignment="1">
      <alignment vertical="top"/>
    </xf>
    <xf numFmtId="0" fontId="0" fillId="0" borderId="0" xfId="0" applyAlignment="1"/>
    <xf numFmtId="0" fontId="3" fillId="0" borderId="10" xfId="0" applyFont="1" applyBorder="1"/>
    <xf numFmtId="0" fontId="0" fillId="0" borderId="10" xfId="0" applyBorder="1"/>
    <xf numFmtId="0" fontId="2" fillId="3" borderId="0" xfId="50" applyFont="1" applyFill="1" applyAlignment="1"/>
    <xf numFmtId="0" fontId="9" fillId="3" borderId="0" xfId="0" applyFont="1" applyFill="1" applyAlignment="1">
      <alignment horizontal="center" wrapText="1"/>
    </xf>
    <xf numFmtId="0" fontId="9" fillId="3" borderId="0" xfId="0" applyFont="1" applyFill="1" applyAlignment="1">
      <alignment wrapText="1"/>
    </xf>
    <xf numFmtId="0" fontId="8" fillId="3" borderId="0" xfId="0" applyFont="1" applyFill="1" applyBorder="1" applyAlignment="1">
      <alignment wrapText="1"/>
    </xf>
    <xf numFmtId="0" fontId="9" fillId="3" borderId="0" xfId="0" applyFont="1" applyFill="1" applyBorder="1" applyAlignment="1">
      <alignment wrapText="1"/>
    </xf>
    <xf numFmtId="0" fontId="9" fillId="3" borderId="0" xfId="0" applyFont="1" applyFill="1" applyAlignment="1"/>
    <xf numFmtId="0" fontId="9" fillId="3" borderId="11" xfId="0" applyFont="1" applyFill="1" applyBorder="1" applyAlignment="1">
      <alignment horizontal="center" wrapText="1"/>
    </xf>
    <xf numFmtId="0" fontId="2" fillId="3" borderId="12" xfId="50" applyFont="1" applyFill="1" applyBorder="1" applyAlignment="1">
      <alignment horizontal="left" wrapText="1"/>
    </xf>
    <xf numFmtId="0" fontId="3" fillId="3" borderId="13" xfId="50" applyFont="1" applyFill="1" applyBorder="1" applyAlignment="1">
      <alignment horizontal="left" wrapText="1"/>
    </xf>
    <xf numFmtId="0" fontId="3" fillId="3" borderId="14" xfId="50" applyFont="1" applyFill="1" applyBorder="1" applyAlignment="1">
      <alignment horizontal="left" wrapText="1"/>
    </xf>
    <xf numFmtId="0" fontId="3" fillId="3" borderId="0" xfId="5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center" wrapText="1"/>
    </xf>
    <xf numFmtId="0" fontId="8" fillId="3" borderId="0" xfId="0" applyFont="1" applyFill="1" applyAlignment="1"/>
    <xf numFmtId="0" fontId="2" fillId="3" borderId="15" xfId="50" applyFont="1" applyFill="1" applyBorder="1" applyAlignment="1">
      <alignment horizontal="left" vertical="center" wrapText="1"/>
    </xf>
    <xf numFmtId="0" fontId="3" fillId="3" borderId="16" xfId="50" applyFont="1" applyFill="1" applyBorder="1" applyAlignment="1">
      <alignment horizontal="left" vertical="top" wrapText="1"/>
    </xf>
    <xf numFmtId="0" fontId="3" fillId="3" borderId="17" xfId="50" applyFont="1" applyFill="1" applyBorder="1" applyAlignment="1">
      <alignment horizontal="left" vertical="top" wrapText="1"/>
    </xf>
    <xf numFmtId="0" fontId="3" fillId="3" borderId="18" xfId="50" applyFont="1" applyFill="1" applyBorder="1" applyAlignment="1">
      <alignment horizontal="left" vertical="top" wrapText="1"/>
    </xf>
    <xf numFmtId="0" fontId="3" fillId="3" borderId="16" xfId="50" applyFont="1" applyFill="1" applyBorder="1" applyAlignment="1">
      <alignment horizontal="left" vertical="center" wrapText="1"/>
    </xf>
    <xf numFmtId="0" fontId="3" fillId="3" borderId="17" xfId="50" applyFont="1" applyFill="1" applyBorder="1" applyAlignment="1">
      <alignment horizontal="left" vertical="center" wrapText="1"/>
    </xf>
    <xf numFmtId="0" fontId="3" fillId="3" borderId="18" xfId="50" applyFont="1" applyFill="1" applyBorder="1" applyAlignment="1">
      <alignment horizontal="left" vertical="center" wrapText="1"/>
    </xf>
    <xf numFmtId="0" fontId="3" fillId="3" borderId="0" xfId="5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8" fillId="3" borderId="15" xfId="0" applyFont="1" applyFill="1" applyBorder="1" applyAlignment="1">
      <alignment horizontal="right"/>
    </xf>
    <xf numFmtId="0" fontId="8" fillId="3" borderId="10" xfId="0" applyFont="1" applyFill="1" applyBorder="1" applyAlignment="1">
      <alignment wrapText="1"/>
    </xf>
    <xf numFmtId="0" fontId="8" fillId="3" borderId="10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right"/>
    </xf>
    <xf numFmtId="0" fontId="8" fillId="3" borderId="21" xfId="0" applyFont="1" applyFill="1" applyBorder="1" applyAlignment="1">
      <alignment wrapText="1"/>
    </xf>
    <xf numFmtId="0" fontId="8" fillId="0" borderId="21" xfId="0" applyFont="1" applyBorder="1" applyAlignment="1">
      <alignment horizontal="center"/>
    </xf>
    <xf numFmtId="1" fontId="8" fillId="3" borderId="22" xfId="0" applyNumberFormat="1" applyFont="1" applyFill="1" applyBorder="1" applyAlignment="1">
      <alignment horizontal="center" wrapText="1"/>
    </xf>
    <xf numFmtId="1" fontId="8" fillId="3" borderId="0" xfId="0" applyNumberFormat="1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 wrapText="1"/>
    </xf>
    <xf numFmtId="0" fontId="4" fillId="4" borderId="25" xfId="50" applyFont="1" applyFill="1" applyBorder="1" applyAlignment="1">
      <alignment horizontal="center" vertical="center" wrapText="1"/>
    </xf>
    <xf numFmtId="0" fontId="4" fillId="4" borderId="25" xfId="50" applyFont="1" applyFill="1" applyBorder="1" applyAlignment="1">
      <alignment vertical="center" wrapText="1"/>
    </xf>
    <xf numFmtId="0" fontId="4" fillId="4" borderId="26" xfId="50" applyFont="1" applyFill="1" applyBorder="1" applyAlignment="1">
      <alignment horizontal="center" vertical="center" wrapText="1"/>
    </xf>
    <xf numFmtId="0" fontId="4" fillId="4" borderId="0" xfId="50" applyFont="1" applyFill="1" applyBorder="1" applyAlignment="1">
      <alignment horizontal="center" vertical="center" wrapText="1"/>
    </xf>
    <xf numFmtId="0" fontId="4" fillId="4" borderId="27" xfId="50" applyFont="1" applyFill="1" applyBorder="1" applyAlignment="1">
      <alignment horizontal="center" vertical="center" wrapText="1"/>
    </xf>
    <xf numFmtId="0" fontId="4" fillId="4" borderId="28" xfId="50" applyFont="1" applyFill="1" applyBorder="1" applyAlignment="1">
      <alignment horizontal="center" vertical="center" wrapText="1"/>
    </xf>
    <xf numFmtId="0" fontId="4" fillId="4" borderId="10" xfId="50" applyFont="1" applyFill="1" applyBorder="1" applyAlignment="1">
      <alignment horizontal="center" vertical="center" wrapText="1"/>
    </xf>
    <xf numFmtId="0" fontId="10" fillId="3" borderId="0" xfId="0" applyFont="1" applyFill="1" applyAlignment="1"/>
    <xf numFmtId="0" fontId="4" fillId="4" borderId="10" xfId="50" applyFont="1" applyFill="1" applyBorder="1" applyAlignment="1">
      <alignment vertical="center" wrapText="1"/>
    </xf>
    <xf numFmtId="0" fontId="4" fillId="4" borderId="29" xfId="50" applyFont="1" applyFill="1" applyBorder="1" applyAlignment="1">
      <alignment horizontal="center" vertical="center" wrapText="1"/>
    </xf>
    <xf numFmtId="0" fontId="4" fillId="4" borderId="24" xfId="50" applyFont="1" applyFill="1" applyBorder="1" applyAlignment="1">
      <alignment horizontal="center" vertical="center" wrapText="1"/>
    </xf>
    <xf numFmtId="0" fontId="4" fillId="4" borderId="30" xfId="5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2" fillId="5" borderId="17" xfId="0" applyFont="1" applyFill="1" applyBorder="1" applyAlignment="1">
      <alignment horizontal="left" vertical="center"/>
    </xf>
    <xf numFmtId="0" fontId="12" fillId="5" borderId="31" xfId="0" applyFont="1" applyFill="1" applyBorder="1" applyAlignment="1">
      <alignment horizontal="left" vertical="center"/>
    </xf>
    <xf numFmtId="0" fontId="13" fillId="6" borderId="16" xfId="50" applyFont="1" applyFill="1" applyBorder="1" applyAlignment="1">
      <alignment horizontal="left" vertical="center" wrapText="1"/>
    </xf>
    <xf numFmtId="0" fontId="13" fillId="6" borderId="17" xfId="50" applyFont="1" applyFill="1" applyBorder="1" applyAlignment="1">
      <alignment horizontal="left" vertical="center" wrapText="1"/>
    </xf>
    <xf numFmtId="0" fontId="13" fillId="6" borderId="31" xfId="50" applyFont="1" applyFill="1" applyBorder="1" applyAlignment="1">
      <alignment horizontal="left" vertical="center" wrapText="1"/>
    </xf>
    <xf numFmtId="181" fontId="8" fillId="0" borderId="10" xfId="0" applyNumberFormat="1" applyFont="1" applyBorder="1" applyAlignment="1">
      <alignment horizontal="left" vertical="top" wrapText="1"/>
    </xf>
    <xf numFmtId="0" fontId="8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3" fillId="6" borderId="16" xfId="50" applyFont="1" applyFill="1" applyBorder="1" applyAlignment="1">
      <alignment horizontal="center" vertical="center" wrapText="1"/>
    </xf>
    <xf numFmtId="0" fontId="13" fillId="6" borderId="17" xfId="5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Border="1"/>
    <xf numFmtId="0" fontId="15" fillId="3" borderId="0" xfId="0" applyFont="1" applyFill="1"/>
    <xf numFmtId="0" fontId="1" fillId="3" borderId="0" xfId="0" applyFont="1" applyFill="1"/>
    <xf numFmtId="0" fontId="16" fillId="3" borderId="0" xfId="0" applyFont="1" applyFill="1"/>
    <xf numFmtId="0" fontId="3" fillId="3" borderId="0" xfId="0" applyNumberFormat="1" applyFont="1" applyFill="1" applyAlignment="1">
      <alignment horizontal="left"/>
    </xf>
    <xf numFmtId="0" fontId="3" fillId="3" borderId="0" xfId="0" applyFont="1" applyFill="1"/>
    <xf numFmtId="182" fontId="3" fillId="0" borderId="0" xfId="0" applyNumberFormat="1" applyFont="1" applyAlignment="1">
      <alignment horizontal="left"/>
    </xf>
    <xf numFmtId="0" fontId="16" fillId="0" borderId="0" xfId="0" applyFont="1"/>
    <xf numFmtId="180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82" fontId="3" fillId="0" borderId="5" xfId="0" applyNumberFormat="1" applyFont="1" applyBorder="1" applyAlignment="1">
      <alignment horizontal="left" vertical="center"/>
    </xf>
    <xf numFmtId="182" fontId="3" fillId="0" borderId="5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182" fontId="3" fillId="0" borderId="5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80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_Vanco_CR022a1_TestCase_v0.1" xfId="50"/>
    <cellStyle name="標準_結合試験(AllOvertheWorld)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workbookViewId="0">
      <selection activeCell="B13" sqref="B13"/>
    </sheetView>
  </sheetViews>
  <sheetFormatPr defaultColWidth="9" defaultRowHeight="13.8" outlineLevelCol="7"/>
  <cols>
    <col min="1" max="1" width="9" style="108"/>
    <col min="2" max="2" width="14.25" style="108" customWidth="1"/>
    <col min="3" max="3" width="9" style="108"/>
    <col min="4" max="4" width="15" style="108" customWidth="1"/>
    <col min="5" max="5" width="32.5" style="108" customWidth="1"/>
    <col min="6" max="6" width="23.8796296296296" style="108" customWidth="1"/>
    <col min="7" max="7" width="20.5" style="108" customWidth="1"/>
    <col min="8" max="8" width="26.75" style="108" customWidth="1"/>
    <col min="9" max="16384" width="9" style="108"/>
  </cols>
  <sheetData>
    <row r="1" spans="1:8">
      <c r="B1" s="109"/>
      <c r="C1" s="109"/>
    </row>
    <row r="2" ht="22.2" spans="1:8">
      <c r="A2" s="110"/>
      <c r="B2" s="111" t="s">
        <v>0</v>
      </c>
      <c r="C2" s="110"/>
      <c r="D2" s="110"/>
      <c r="E2" s="110"/>
      <c r="F2" s="110"/>
      <c r="G2" s="110"/>
    </row>
    <row r="3" spans="1:8">
      <c r="A3" s="110"/>
      <c r="B3" s="112" t="s">
        <v>1</v>
      </c>
      <c r="C3" s="113">
        <v>1.2</v>
      </c>
      <c r="D3" s="114"/>
      <c r="E3" s="110"/>
      <c r="F3" s="110"/>
      <c r="G3" s="110"/>
    </row>
    <row r="4" spans="1:8">
      <c r="A4" s="110"/>
      <c r="B4" s="112" t="s">
        <v>2</v>
      </c>
      <c r="C4" s="115" t="s">
        <v>3</v>
      </c>
      <c r="D4" s="115"/>
      <c r="E4" s="110"/>
      <c r="F4" s="110"/>
      <c r="G4" s="110"/>
    </row>
    <row r="5" ht="14.55" spans="1:8">
      <c r="A5" s="110"/>
      <c r="B5" s="112"/>
      <c r="C5" s="114"/>
      <c r="D5" s="114"/>
      <c r="E5" s="110"/>
      <c r="F5" s="110"/>
      <c r="G5" s="110"/>
    </row>
    <row r="6" ht="14.25" customHeight="1" spans="1:8">
      <c r="A6" s="110"/>
      <c r="B6" s="112" t="s">
        <v>4</v>
      </c>
      <c r="C6" s="49" t="s">
        <v>5</v>
      </c>
      <c r="D6" s="49"/>
      <c r="E6" s="50"/>
      <c r="F6" s="110"/>
      <c r="G6" s="110"/>
    </row>
    <row r="7" spans="1:8">
      <c r="A7" s="110"/>
      <c r="B7" s="112" t="s">
        <v>6</v>
      </c>
      <c r="C7" s="49" t="s">
        <v>7</v>
      </c>
      <c r="D7" s="49"/>
      <c r="E7" s="50"/>
      <c r="F7" s="110"/>
      <c r="G7" s="110"/>
    </row>
    <row r="8" spans="1:8">
      <c r="A8" s="110"/>
      <c r="B8" s="112"/>
      <c r="C8" s="110"/>
      <c r="D8" s="110"/>
      <c r="E8" s="110"/>
      <c r="F8" s="110"/>
      <c r="G8" s="110"/>
    </row>
    <row r="9" spans="1:8">
      <c r="A9" s="110"/>
      <c r="B9" s="6"/>
      <c r="C9" s="6"/>
      <c r="D9" s="6"/>
      <c r="E9" s="6"/>
      <c r="F9" s="110"/>
      <c r="G9" s="110"/>
    </row>
    <row r="10" spans="1:8">
      <c r="B10" s="116" t="s">
        <v>8</v>
      </c>
    </row>
    <row r="11" s="106" customFormat="1" ht="26.4" spans="1:8">
      <c r="B11" s="117" t="s">
        <v>9</v>
      </c>
      <c r="C11" s="118" t="s">
        <v>10</v>
      </c>
      <c r="D11" s="118" t="s">
        <v>11</v>
      </c>
      <c r="E11" s="118" t="s">
        <v>12</v>
      </c>
      <c r="F11" s="118" t="s">
        <v>13</v>
      </c>
      <c r="G11" s="119" t="s">
        <v>14</v>
      </c>
      <c r="H11" s="120" t="s">
        <v>15</v>
      </c>
    </row>
    <row r="12" s="106" customFormat="1" ht="26.4" spans="1:8">
      <c r="B12" s="121">
        <v>39293</v>
      </c>
      <c r="C12" s="122" t="s">
        <v>16</v>
      </c>
      <c r="D12" s="123"/>
      <c r="E12" s="124" t="s">
        <v>17</v>
      </c>
      <c r="F12" s="125" t="s">
        <v>18</v>
      </c>
      <c r="G12" s="126"/>
      <c r="H12" s="127" t="s">
        <v>19</v>
      </c>
    </row>
    <row r="13" s="106" customFormat="1" ht="26.4" spans="1:8">
      <c r="B13" s="7">
        <v>39295</v>
      </c>
      <c r="C13" s="122" t="s">
        <v>20</v>
      </c>
      <c r="D13" s="123"/>
      <c r="E13" s="124" t="s">
        <v>21</v>
      </c>
      <c r="F13" s="125" t="s">
        <v>18</v>
      </c>
      <c r="G13" s="128" t="s">
        <v>22</v>
      </c>
      <c r="H13" s="127" t="s">
        <v>19</v>
      </c>
    </row>
    <row r="14" s="107" customFormat="1" ht="26.4" spans="1:8">
      <c r="B14" s="121">
        <v>39311</v>
      </c>
      <c r="C14" s="122" t="s">
        <v>23</v>
      </c>
      <c r="D14" s="123"/>
      <c r="E14" s="124" t="s">
        <v>21</v>
      </c>
      <c r="F14" s="125" t="s">
        <v>18</v>
      </c>
      <c r="G14" s="128" t="s">
        <v>24</v>
      </c>
      <c r="H14" s="127" t="s">
        <v>19</v>
      </c>
    </row>
    <row r="15" s="107" customFormat="1" ht="13.2" spans="1:8">
      <c r="B15" s="129"/>
      <c r="C15" s="130"/>
      <c r="D15" s="131"/>
      <c r="E15" s="131"/>
      <c r="F15" s="131"/>
      <c r="G15" s="131"/>
      <c r="H15" s="132"/>
    </row>
    <row r="16" s="106" customFormat="1" spans="1:8">
      <c r="B16" s="121"/>
      <c r="C16" s="122"/>
      <c r="D16" s="123"/>
      <c r="E16" s="131"/>
      <c r="F16" s="131"/>
      <c r="G16" s="131"/>
      <c r="H16" s="133"/>
    </row>
    <row r="17" s="106" customFormat="1" spans="2:8">
      <c r="B17" s="129"/>
      <c r="C17" s="130"/>
      <c r="D17" s="131"/>
      <c r="E17" s="131"/>
      <c r="F17" s="131"/>
      <c r="G17" s="131"/>
      <c r="H17" s="132"/>
    </row>
    <row r="18" s="106" customFormat="1" spans="2:8">
      <c r="B18" s="129"/>
      <c r="C18" s="130"/>
      <c r="D18" s="131"/>
      <c r="E18" s="131"/>
      <c r="F18" s="131"/>
      <c r="G18" s="131"/>
      <c r="H18" s="132"/>
    </row>
    <row r="19" s="106" customFormat="1" spans="2:8">
      <c r="B19" s="129"/>
      <c r="C19" s="130"/>
      <c r="D19" s="131"/>
      <c r="E19" s="131"/>
      <c r="F19" s="131"/>
      <c r="G19" s="131"/>
      <c r="H19" s="132"/>
    </row>
    <row r="20" s="106" customFormat="1" spans="2:8">
      <c r="B20" s="129"/>
      <c r="C20" s="130"/>
      <c r="D20" s="131"/>
      <c r="E20" s="131"/>
      <c r="F20" s="131"/>
      <c r="G20" s="131"/>
      <c r="H20" s="132"/>
    </row>
    <row r="21" s="106" customFormat="1" spans="2:8">
      <c r="B21" s="129"/>
      <c r="C21" s="130"/>
      <c r="D21" s="131"/>
      <c r="E21" s="131"/>
      <c r="F21" s="131"/>
      <c r="G21" s="131"/>
      <c r="H21" s="132"/>
    </row>
    <row r="22" s="106" customFormat="1" spans="2:8">
      <c r="B22" s="129"/>
      <c r="C22" s="130"/>
      <c r="D22" s="131"/>
      <c r="E22" s="131"/>
      <c r="F22" s="131"/>
      <c r="G22" s="131"/>
      <c r="H22" s="132"/>
    </row>
    <row r="23" s="106" customFormat="1" spans="2:8">
      <c r="B23" s="134"/>
      <c r="C23" s="135"/>
      <c r="D23" s="136"/>
      <c r="E23" s="136"/>
      <c r="F23" s="136"/>
      <c r="G23" s="136"/>
      <c r="H23" s="137"/>
    </row>
  </sheetData>
  <mergeCells count="2">
    <mergeCell ref="C6:E6"/>
    <mergeCell ref="C7:E7"/>
  </mergeCells>
  <pageMargins left="0.37" right="0.47" top="0.5" bottom="0.38" header="0.5" footer="0.17"/>
  <pageSetup paperSize="9" orientation="landscape" horizontalDpi="96" verticalDpi="96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0"/>
  <sheetViews>
    <sheetView tabSelected="1" topLeftCell="A10" workbookViewId="0">
      <selection activeCell="B6" sqref="B6"/>
    </sheetView>
  </sheetViews>
  <sheetFormatPr defaultColWidth="9" defaultRowHeight="13.2"/>
  <cols>
    <col min="1" max="1" width="15.75" customWidth="1"/>
    <col min="2" max="2" width="18.1296296296296" style="38" customWidth="1"/>
    <col min="3" max="3" width="42.1296296296296" customWidth="1"/>
    <col min="6" max="6" width="23.6296296296296" customWidth="1"/>
    <col min="7" max="7" width="18.5" hidden="1" customWidth="1"/>
    <col min="8" max="8" width="17.25" customWidth="1"/>
    <col min="9" max="9" width="9" style="39"/>
    <col min="10" max="10" width="18" style="40" customWidth="1"/>
  </cols>
  <sheetData>
    <row r="1" s="31" customFormat="1" ht="12.75" customHeight="1" spans="1:11">
      <c r="A1" s="41" t="s">
        <v>0</v>
      </c>
      <c r="B1" s="42"/>
      <c r="C1" s="42"/>
      <c r="D1" s="42"/>
      <c r="E1" s="43"/>
      <c r="F1" s="43"/>
      <c r="G1" s="43"/>
      <c r="H1" s="43"/>
      <c r="I1" s="44"/>
      <c r="J1" s="45"/>
      <c r="K1" s="46"/>
    </row>
    <row r="2" s="31" customFormat="1" ht="11.25" customHeight="1" spans="1:11">
      <c r="A2" s="46"/>
      <c r="B2" s="47"/>
      <c r="C2" s="47"/>
      <c r="D2" s="47"/>
      <c r="E2" s="43"/>
      <c r="F2" s="43"/>
      <c r="G2" s="43"/>
      <c r="H2" s="43"/>
      <c r="I2" s="44"/>
      <c r="J2" s="45"/>
      <c r="K2" s="46"/>
    </row>
    <row r="3" s="32" customFormat="1" ht="15" customHeight="1" spans="1:11">
      <c r="A3" s="48" t="s">
        <v>25</v>
      </c>
      <c r="B3" s="49" t="s">
        <v>26</v>
      </c>
      <c r="C3" s="49"/>
      <c r="D3" s="50"/>
      <c r="E3" s="51"/>
      <c r="F3" s="51"/>
      <c r="G3" s="51"/>
      <c r="H3" s="52"/>
      <c r="I3" s="52"/>
      <c r="J3" s="52"/>
      <c r="K3" s="53"/>
    </row>
    <row r="4" s="32" customFormat="1" spans="1:11">
      <c r="A4" s="54" t="s">
        <v>27</v>
      </c>
      <c r="B4" s="55" t="s">
        <v>28</v>
      </c>
      <c r="C4" s="56"/>
      <c r="D4" s="57"/>
      <c r="E4" s="51"/>
      <c r="F4" s="51"/>
      <c r="G4" s="51"/>
      <c r="H4" s="52"/>
      <c r="I4" s="52"/>
      <c r="J4" s="52"/>
      <c r="K4" s="53"/>
    </row>
    <row r="5" s="33" customFormat="1" ht="26.4" spans="1:11">
      <c r="A5" s="54" t="s">
        <v>29</v>
      </c>
      <c r="B5" s="58" t="s">
        <v>30</v>
      </c>
      <c r="C5" s="59"/>
      <c r="D5" s="60"/>
      <c r="E5" s="61"/>
      <c r="F5" s="61"/>
      <c r="G5" s="61"/>
      <c r="H5" s="62"/>
      <c r="I5" s="62"/>
      <c r="J5" s="62"/>
      <c r="K5" s="63"/>
    </row>
    <row r="6" s="32" customFormat="1" ht="15" customHeight="1" spans="1:11">
      <c r="A6" s="64" t="s">
        <v>31</v>
      </c>
      <c r="B6" s="65">
        <v>12</v>
      </c>
      <c r="C6" s="66" t="s">
        <v>32</v>
      </c>
      <c r="D6" s="67">
        <f>COUNTIF(I10:I741,"Pending")</f>
        <v>0</v>
      </c>
      <c r="E6" s="52"/>
      <c r="F6" s="52"/>
      <c r="G6" s="52"/>
      <c r="H6" s="52"/>
      <c r="I6" s="52"/>
      <c r="J6" s="52"/>
      <c r="K6" s="53"/>
    </row>
    <row r="7" s="32" customFormat="1" ht="15" customHeight="1" spans="1:11">
      <c r="A7" s="68" t="s">
        <v>33</v>
      </c>
      <c r="B7" s="69">
        <v>0</v>
      </c>
      <c r="C7" s="70" t="s">
        <v>34</v>
      </c>
      <c r="D7" s="71">
        <v>12</v>
      </c>
      <c r="E7" s="72"/>
      <c r="F7" s="72"/>
      <c r="G7" s="72"/>
      <c r="H7" s="52"/>
      <c r="I7" s="52"/>
      <c r="J7" s="52"/>
      <c r="K7" s="53"/>
    </row>
    <row r="8" s="32" customFormat="1" ht="15" customHeight="1" spans="1:11">
      <c r="A8" s="73"/>
      <c r="B8" s="73"/>
      <c r="C8" s="73"/>
      <c r="D8" s="73"/>
      <c r="E8" s="52"/>
      <c r="F8" s="52"/>
      <c r="G8" s="52"/>
      <c r="H8" s="52"/>
      <c r="I8" s="74"/>
      <c r="J8" s="74"/>
      <c r="K8" s="53"/>
    </row>
    <row r="9" s="34" customFormat="1" ht="12" customHeight="1" spans="1:11">
      <c r="A9" s="75" t="s">
        <v>35</v>
      </c>
      <c r="B9" s="76" t="s">
        <v>36</v>
      </c>
      <c r="C9" s="75" t="s">
        <v>37</v>
      </c>
      <c r="D9" s="77" t="s">
        <v>38</v>
      </c>
      <c r="E9" s="78"/>
      <c r="F9" s="78"/>
      <c r="G9" s="79"/>
      <c r="H9" s="80" t="s">
        <v>39</v>
      </c>
      <c r="I9" s="81" t="s">
        <v>40</v>
      </c>
      <c r="J9" s="81" t="s">
        <v>41</v>
      </c>
      <c r="K9" s="82"/>
    </row>
    <row r="10" s="35" customFormat="1" ht="12" customHeight="1" spans="1:11">
      <c r="A10" s="81"/>
      <c r="B10" s="83"/>
      <c r="C10" s="81"/>
      <c r="D10" s="84"/>
      <c r="E10" s="85"/>
      <c r="F10" s="85"/>
      <c r="G10" s="86"/>
      <c r="H10" s="84"/>
      <c r="I10" s="81"/>
      <c r="J10" s="81"/>
      <c r="K10" s="87"/>
    </row>
    <row r="11" s="36" customFormat="1" ht="15" spans="1:11">
      <c r="A11" s="88"/>
      <c r="B11" s="88"/>
      <c r="C11" s="88"/>
      <c r="D11" s="88"/>
      <c r="E11" s="88"/>
      <c r="F11" s="88"/>
      <c r="G11" s="88"/>
      <c r="H11" s="88"/>
      <c r="I11" s="88"/>
      <c r="J11" s="89"/>
    </row>
    <row r="12" s="37" customFormat="1" spans="1:11">
      <c r="A12" s="90"/>
      <c r="B12" s="91"/>
      <c r="C12" s="91"/>
      <c r="D12" s="91"/>
      <c r="E12" s="91"/>
      <c r="F12" s="91"/>
      <c r="G12" s="91"/>
      <c r="H12" s="91"/>
      <c r="I12" s="91"/>
      <c r="J12" s="92"/>
    </row>
    <row r="13" s="37" customFormat="1" outlineLevel="1" spans="1:11">
      <c r="A13" s="93" t="s">
        <v>42</v>
      </c>
      <c r="B13" s="94" t="s">
        <v>43</v>
      </c>
      <c r="C13" s="95" t="s">
        <v>44</v>
      </c>
      <c r="D13" s="96" t="s">
        <v>45</v>
      </c>
      <c r="E13" s="97"/>
      <c r="F13" s="97"/>
      <c r="G13" s="98"/>
      <c r="H13" s="99" t="s">
        <v>46</v>
      </c>
      <c r="I13" s="95" t="s">
        <v>31</v>
      </c>
      <c r="J13" s="95"/>
    </row>
    <row r="14" s="37" customFormat="1" outlineLevel="1" spans="1:11">
      <c r="A14" s="100"/>
      <c r="B14" s="101"/>
      <c r="C14" s="101"/>
      <c r="D14" s="91"/>
      <c r="E14" s="91"/>
      <c r="F14" s="91"/>
      <c r="G14" s="91"/>
      <c r="H14" s="91"/>
      <c r="I14" s="91"/>
      <c r="J14" s="92"/>
    </row>
    <row r="15" s="37" customFormat="1" ht="63.75" customHeight="1" outlineLevel="1" spans="1:11">
      <c r="A15" s="93" t="s">
        <v>47</v>
      </c>
      <c r="B15" s="102" t="s">
        <v>43</v>
      </c>
      <c r="C15" s="103" t="s">
        <v>48</v>
      </c>
      <c r="D15" s="104" t="s">
        <v>49</v>
      </c>
      <c r="E15" s="97"/>
      <c r="F15" s="97"/>
      <c r="G15" s="98"/>
      <c r="H15" s="96" t="s">
        <v>50</v>
      </c>
      <c r="I15" s="95" t="s">
        <v>31</v>
      </c>
      <c r="J15" s="95"/>
    </row>
    <row r="16" s="37" customFormat="1" ht="63.75" customHeight="1" outlineLevel="1" spans="1:11">
      <c r="A16" s="93" t="s">
        <v>51</v>
      </c>
      <c r="B16" s="102" t="s">
        <v>52</v>
      </c>
      <c r="C16" s="103" t="s">
        <v>53</v>
      </c>
      <c r="D16" s="104" t="s">
        <v>54</v>
      </c>
      <c r="E16" s="97"/>
      <c r="F16" s="97"/>
      <c r="G16" s="98"/>
      <c r="H16" s="99" t="s">
        <v>55</v>
      </c>
      <c r="I16" s="95" t="s">
        <v>31</v>
      </c>
      <c r="J16" s="95"/>
    </row>
    <row r="17" s="37" customFormat="1" outlineLevel="1" spans="1:10">
      <c r="A17" s="93" t="s">
        <v>56</v>
      </c>
      <c r="B17" s="102" t="s">
        <v>52</v>
      </c>
      <c r="C17" s="103" t="s">
        <v>57</v>
      </c>
      <c r="D17" s="96" t="s">
        <v>58</v>
      </c>
      <c r="E17" s="97"/>
      <c r="F17" s="97"/>
      <c r="G17" s="98"/>
      <c r="H17" s="105" t="s">
        <v>59</v>
      </c>
      <c r="I17" s="95" t="s">
        <v>31</v>
      </c>
      <c r="J17" s="95"/>
    </row>
    <row r="18" s="37" customFormat="1" outlineLevel="1" spans="1:10">
      <c r="A18" s="93" t="s">
        <v>60</v>
      </c>
      <c r="B18" s="102" t="s">
        <v>61</v>
      </c>
      <c r="C18" s="103" t="s">
        <v>62</v>
      </c>
      <c r="D18" s="104" t="s">
        <v>63</v>
      </c>
      <c r="E18" s="97"/>
      <c r="F18" s="97"/>
      <c r="G18" s="98"/>
      <c r="H18" s="96" t="s">
        <v>55</v>
      </c>
      <c r="I18" s="95" t="s">
        <v>31</v>
      </c>
      <c r="J18" s="95"/>
    </row>
    <row r="19" s="37" customFormat="1" outlineLevel="1" spans="1:10">
      <c r="A19" s="100"/>
      <c r="B19" s="101"/>
      <c r="C19" s="101"/>
      <c r="D19" s="91"/>
      <c r="E19" s="91"/>
      <c r="F19" s="91"/>
      <c r="G19" s="91"/>
      <c r="H19" s="91"/>
      <c r="I19" s="91"/>
      <c r="J19" s="92"/>
    </row>
    <row r="20" s="37" customFormat="1" ht="63.75" customHeight="1" outlineLevel="1" spans="1:10">
      <c r="A20" s="93" t="s">
        <v>64</v>
      </c>
      <c r="B20" s="102" t="s">
        <v>65</v>
      </c>
      <c r="C20" s="103" t="s">
        <v>66</v>
      </c>
      <c r="D20" s="104" t="s">
        <v>67</v>
      </c>
      <c r="E20" s="97"/>
      <c r="F20" s="97"/>
      <c r="G20" s="98"/>
      <c r="H20" s="96" t="s">
        <v>68</v>
      </c>
      <c r="I20" s="95" t="s">
        <v>31</v>
      </c>
      <c r="J20" s="95"/>
    </row>
    <row r="21" s="37" customFormat="1" ht="63.75" customHeight="1" outlineLevel="1" spans="1:10">
      <c r="A21" s="93" t="s">
        <v>69</v>
      </c>
      <c r="B21" s="102" t="s">
        <v>65</v>
      </c>
      <c r="C21" s="103" t="s">
        <v>70</v>
      </c>
      <c r="D21" s="104" t="s">
        <v>71</v>
      </c>
      <c r="E21" s="97"/>
      <c r="F21" s="97"/>
      <c r="G21" s="98"/>
      <c r="H21" s="99" t="s">
        <v>72</v>
      </c>
      <c r="I21" s="95" t="s">
        <v>31</v>
      </c>
      <c r="J21" s="95"/>
    </row>
    <row r="22" s="37" customFormat="1" outlineLevel="1" spans="1:10">
      <c r="A22" s="37" t="s">
        <v>73</v>
      </c>
      <c r="B22" s="102" t="s">
        <v>74</v>
      </c>
      <c r="C22" s="103" t="s">
        <v>75</v>
      </c>
      <c r="D22" s="104" t="s">
        <v>76</v>
      </c>
      <c r="E22" s="97"/>
      <c r="F22" s="97"/>
      <c r="G22" s="98"/>
      <c r="H22" s="105" t="s">
        <v>68</v>
      </c>
      <c r="I22" s="95" t="s">
        <v>31</v>
      </c>
      <c r="J22" s="95"/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</sheetData>
  <mergeCells count="29">
    <mergeCell ref="B3:D3"/>
    <mergeCell ref="H3:J3"/>
    <mergeCell ref="B4:D4"/>
    <mergeCell ref="H4:J4"/>
    <mergeCell ref="B5:D5"/>
    <mergeCell ref="H5:J5"/>
    <mergeCell ref="H6:J6"/>
    <mergeCell ref="H7:J7"/>
    <mergeCell ref="A8:D8"/>
    <mergeCell ref="A11:J11"/>
    <mergeCell ref="A12:J12"/>
    <mergeCell ref="D13:F13"/>
    <mergeCell ref="A14:C14"/>
    <mergeCell ref="D15:F15"/>
    <mergeCell ref="D16:F16"/>
    <mergeCell ref="D17:F17"/>
    <mergeCell ref="D18:F18"/>
    <mergeCell ref="A19:C19"/>
    <mergeCell ref="D20:F20"/>
    <mergeCell ref="D21:F21"/>
    <mergeCell ref="D22:F22"/>
    <mergeCell ref="A9:A10"/>
    <mergeCell ref="B9:B10"/>
    <mergeCell ref="C9:C10"/>
    <mergeCell ref="H9:H10"/>
    <mergeCell ref="I9:I10"/>
    <mergeCell ref="J9:J10"/>
    <mergeCell ref="D9:G10"/>
    <mergeCell ref="B1:D2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C4" sqref="C4"/>
    </sheetView>
  </sheetViews>
  <sheetFormatPr defaultColWidth="9" defaultRowHeight="13.2" outlineLevelCol="6"/>
  <cols>
    <col min="3" max="3" width="22.8796296296296" customWidth="1"/>
    <col min="7" max="7" width="18.8796296296296" customWidth="1"/>
  </cols>
  <sheetData>
    <row r="1" ht="22.2" spans="1:7">
      <c r="A1" s="2" t="s">
        <v>77</v>
      </c>
      <c r="B1" s="3"/>
      <c r="C1" s="4"/>
      <c r="D1" s="4"/>
      <c r="E1" s="4"/>
      <c r="F1" s="4"/>
      <c r="G1" s="5"/>
    </row>
    <row r="2" ht="14.25" customHeight="1" spans="1:7">
      <c r="A2" s="2"/>
      <c r="B2" s="3"/>
      <c r="C2" s="4"/>
      <c r="D2" s="4"/>
      <c r="E2" s="4"/>
      <c r="F2" s="4"/>
      <c r="G2" s="5"/>
    </row>
    <row r="3" spans="1:7">
      <c r="B3" s="6" t="s">
        <v>78</v>
      </c>
      <c r="C3" s="4"/>
      <c r="D3" s="4"/>
      <c r="E3" s="4"/>
      <c r="F3" s="4"/>
      <c r="G3" s="5"/>
    </row>
    <row r="4" spans="1:7">
      <c r="B4" s="6" t="s">
        <v>79</v>
      </c>
      <c r="C4" s="7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ht="26.4" spans="1:7">
      <c r="A7" s="8"/>
      <c r="B7" s="9" t="s">
        <v>80</v>
      </c>
      <c r="C7" s="10" t="s">
        <v>81</v>
      </c>
      <c r="D7" s="11" t="s">
        <v>31</v>
      </c>
      <c r="E7" s="10" t="s">
        <v>33</v>
      </c>
      <c r="F7" s="10" t="s">
        <v>32</v>
      </c>
      <c r="G7" s="12" t="s">
        <v>82</v>
      </c>
    </row>
    <row r="8" s="1" customFormat="1" spans="1:7">
      <c r="A8" s="13"/>
      <c r="B8" s="14">
        <v>1</v>
      </c>
      <c r="C8" s="15" t="str">
        <f>'Export all carrier choices'!B4</f>
        <v>Manual Testing</v>
      </c>
      <c r="D8" s="16">
        <f>'Export all carrier choices'!B6</f>
        <v>12</v>
      </c>
      <c r="E8" s="15">
        <f>'Export all carrier choices'!B7</f>
        <v>0</v>
      </c>
      <c r="F8" s="15">
        <f>'Export all carrier choices'!D6</f>
        <v>0</v>
      </c>
      <c r="G8" s="16">
        <f>'Export all carrier choices'!D7</f>
        <v>12</v>
      </c>
    </row>
    <row r="9" spans="1:7">
      <c r="A9" s="6"/>
      <c r="B9" s="17"/>
      <c r="C9" s="18"/>
      <c r="D9" s="19"/>
      <c r="E9" s="20"/>
      <c r="F9" s="20"/>
      <c r="G9" s="21"/>
    </row>
    <row r="10" spans="1:7">
      <c r="A10" s="6"/>
      <c r="B10" s="22"/>
      <c r="C10" s="23" t="s">
        <v>83</v>
      </c>
      <c r="D10" s="24">
        <f>SUM(D6:D9)</f>
        <v>12</v>
      </c>
      <c r="E10" s="24">
        <f>SUM(E6:E9)</f>
        <v>0</v>
      </c>
      <c r="F10" s="24">
        <f>SUM(F6:F9)</f>
        <v>0</v>
      </c>
      <c r="G10" s="25">
        <f>SUM(G6:G9)</f>
        <v>12</v>
      </c>
    </row>
    <row r="11" spans="1:7">
      <c r="A11" s="6"/>
      <c r="B11" s="26"/>
      <c r="C11" s="6"/>
      <c r="D11" s="27"/>
      <c r="E11" s="28"/>
      <c r="F11" s="28"/>
      <c r="G11" s="28"/>
    </row>
    <row r="12" spans="1:7">
      <c r="A12" s="6"/>
      <c r="B12" s="6"/>
      <c r="C12" s="6" t="s">
        <v>84</v>
      </c>
      <c r="D12" s="6"/>
      <c r="E12" s="29">
        <f>(D10+E10)*100/G10</f>
        <v>100</v>
      </c>
      <c r="F12" s="6" t="s">
        <v>85</v>
      </c>
      <c r="G12" s="30"/>
    </row>
    <row r="13" spans="1:7">
      <c r="A13" s="6"/>
      <c r="B13" s="6"/>
      <c r="C13" s="6" t="s">
        <v>86</v>
      </c>
      <c r="D13" s="6"/>
      <c r="E13" s="29">
        <f>D10*100/G10</f>
        <v>100</v>
      </c>
      <c r="F13" s="6" t="s">
        <v>85</v>
      </c>
      <c r="G13" s="30"/>
    </row>
  </sheetData>
  <pageMargins left="0.75" right="0.75" top="1" bottom="1" header="0.5" footer="0.5"/>
  <pageSetup paperSize="1" orientation="landscape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admin</cp:lastModifiedBy>
  <dcterms:created xsi:type="dcterms:W3CDTF">2002-07-27T17:17:00Z</dcterms:created>
  <cp:lastPrinted>2006-08-02T10:15:00Z</cp:lastPrinted>
  <dcterms:modified xsi:type="dcterms:W3CDTF">2026-09-17T06:08:01Z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ICV">
    <vt:lpwstr>19F091C13C5943E2B2CB1B5A8A5FA5AA_13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